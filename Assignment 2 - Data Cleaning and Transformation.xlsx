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ssignment\"/>
    </mc:Choice>
  </mc:AlternateContent>
  <xr:revisionPtr revIDLastSave="0" documentId="13_ncr:1_{32B11C26-D582-4073-98AB-406FB71245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Data Analysis - Tool" sheetId="3" r:id="rId3"/>
  </sheets>
  <definedNames>
    <definedName name="_xlnm._FilterDatabase" localSheetId="1" hidden="1">Dataset!$A$1:$O$1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M2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2" i="2"/>
  <c r="H2" i="2" s="1"/>
  <c r="G7" i="2"/>
  <c r="H7" i="2" s="1"/>
  <c r="G31" i="2"/>
  <c r="H31" i="2" s="1"/>
  <c r="G32" i="2"/>
  <c r="H32" i="2" s="1"/>
  <c r="G3" i="2"/>
  <c r="H3" i="2" s="1"/>
  <c r="G4" i="2"/>
  <c r="H4" i="2" s="1"/>
  <c r="G5" i="2"/>
  <c r="H5" i="2" s="1"/>
  <c r="G6" i="2"/>
  <c r="H6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</calcChain>
</file>

<file path=xl/sharedStrings.xml><?xml version="1.0" encoding="utf-8"?>
<sst xmlns="http://schemas.openxmlformats.org/spreadsheetml/2006/main" count="183" uniqueCount="137">
  <si>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</si>
  <si>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</si>
  <si>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</si>
  <si>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</si>
  <si>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</si>
  <si>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</si>
  <si>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</si>
  <si>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</si>
  <si>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</si>
  <si>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</si>
  <si>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</si>
  <si>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</si>
  <si>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</si>
  <si>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</si>
  <si>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</si>
  <si>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</si>
  <si>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</si>
  <si>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</si>
  <si>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</si>
  <si>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</si>
  <si>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</si>
  <si>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</si>
  <si>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</si>
  <si>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</si>
  <si>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</si>
  <si>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</si>
  <si>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</si>
  <si>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</si>
  <si>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</si>
  <si>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</si>
  <si>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</si>
  <si>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</si>
  <si>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</si>
  <si>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</si>
  <si>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</si>
  <si>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</si>
  <si>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</si>
  <si>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</si>
  <si>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</si>
  <si>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</si>
  <si>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</si>
  <si>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</si>
  <si>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</si>
  <si>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</si>
  <si>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</si>
  <si>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</si>
  <si>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</si>
  <si>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</si>
  <si>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</si>
  <si>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</si>
  <si>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</si>
  <si>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</si>
  <si>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</si>
  <si>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</si>
  <si>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</si>
  <si>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</si>
  <si>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</si>
  <si>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</si>
  <si>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</si>
  <si>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</si>
  <si>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</si>
  <si>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</si>
  <si>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</si>
  <si>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</si>
  <si>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</si>
  <si>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</si>
  <si>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</si>
  <si>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</si>
  <si>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</si>
  <si>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</si>
  <si>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</si>
  <si>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</si>
  <si>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</si>
  <si>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</si>
  <si>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</si>
  <si>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</si>
  <si>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</si>
  <si>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</si>
  <si>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</si>
  <si>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</si>
  <si>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</si>
  <si>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</si>
  <si>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</si>
  <si>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</si>
  <si>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</si>
  <si>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</si>
  <si>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</si>
  <si>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</si>
  <si>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</si>
  <si>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</si>
  <si>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</si>
  <si>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</si>
  <si>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</si>
  <si>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</si>
  <si>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</si>
  <si>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</si>
  <si>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</si>
  <si>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</si>
  <si>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</si>
  <si>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</si>
  <si>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</si>
  <si>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</si>
  <si>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</si>
  <si>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</si>
  <si>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</si>
  <si>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</si>
  <si>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</si>
  <si>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</si>
  <si>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</si>
  <si>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</si>
  <si>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</si>
  <si>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</si>
  <si>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Price</t>
  </si>
  <si>
    <t>Round Missing Price</t>
  </si>
  <si>
    <t>Missing Category</t>
  </si>
  <si>
    <t>Manufacturing Date</t>
  </si>
  <si>
    <t>Country Code</t>
  </si>
  <si>
    <t>Product Brand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</si>
  <si>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</si>
  <si>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</si>
  <si>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</si>
  <si>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</si>
  <si>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</si>
  <si>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</si>
  <si>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</si>
  <si>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</si>
  <si>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</si>
  <si>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</si>
  <si>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</si>
  <si>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</si>
  <si>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</si>
  <si>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DD-MM-YYYY</t>
  </si>
  <si>
    <t>Missing Price ($)</t>
  </si>
  <si>
    <t>Round Missing Price ($)</t>
  </si>
  <si>
    <t>Note:</t>
  </si>
  <si>
    <t># I have used conditional formatting</t>
  </si>
  <si>
    <t># Year not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</si>
</sst>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409]* #,##0.00_ ;_-[$$-409]* \-#,##0.00\ ;_-[$$-409]* &quot;-&quot;??_ ;_-@_ "/>
    <numFmt numFmtId="175" formatCode="_-[$$-409]* #,##0_ ;_-[$$-409]* \-#,##0\ ;_-[$$-409]* &quot;-&quot;??_ ;_-@_ 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175" fontId="8" fillId="2" borderId="0" xfId="0" applyNumberFormat="1" applyFont="1" applyFill="1" applyAlignment="1">
      <alignment horizontal="center"/>
    </xf>
    <xf numFmtId="175" fontId="0" fillId="0" borderId="0" xfId="0" applyNumberFormat="1" applyAlignment="1">
      <alignment horizontal="center"/>
    </xf>
    <xf numFmtId="14" fontId="0" fillId="0" borderId="0" xfId="0" applyNumberFormat="1"/>
    <xf numFmtId="0" fontId="7" fillId="2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5" fillId="0" borderId="0" xfId="0" applyNumberFormat="1" applyFont="1" applyAlignment="1">
      <alignment horizontal="center"/>
    </xf>
    <xf numFmtId="0" fontId="5" fillId="3" borderId="0" xfId="0" applyNumberFormat="1" applyFont="1" applyFill="1" applyAlignment="1">
      <alignment horizontal="center"/>
    </xf>
    <xf numFmtId="0" fontId="0" fillId="0" borderId="1" xfId="0" applyFill="1" applyBorder="1" applyAlignment="1"/>
    <xf numFmtId="0" fontId="10" fillId="0" borderId="2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4" borderId="1" xfId="0" applyFont="1" applyFill="1" applyBorder="1"/>
    <xf numFmtId="0" fontId="9" fillId="4" borderId="1" xfId="0" applyFont="1" applyFill="1" applyBorder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75" formatCode="_-[$$-409]* #,##0_ ;_-[$$-409]* \-#,##0\ ;_-[$$-409]* &quot;-&quot;??_ ;_-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336B9-4C66-43D1-BA7E-02C9313F8C5D}" name="Table1" displayName="Table1" ref="A1:M32" totalsRowShown="0" headerRowDxfId="4">
  <autoFilter ref="A1:M32" xr:uid="{BB7336B9-4C66-43D1-BA7E-02C9313F8C5D}"/>
  <tableColumns count="13">
    <tableColumn id="1" xr3:uid="{12082497-D181-4EF3-9673-4F2F5BB1F237}" name="Product ID" dataDxfId="13"/>
    <tableColumn id="2" xr3:uid="{C0ACBFB9-E31D-46E6-AAF1-FA50A524077C}" name="Product Name" dataDxfId="12"/>
    <tableColumn id="3" xr3:uid="{390565F0-EC38-4C0D-9244-4D2BA2CF1D30}" name="Brand Name" dataDxfId="11"/>
    <tableColumn id="4" xr3:uid="{C06F418F-919C-4F8E-902B-3391C17DE5A5}" name="Price ($)" dataDxfId="10"/>
    <tableColumn id="5" xr3:uid="{686D3AE0-FF8B-4EAB-B6C7-4B27743853DB}" name="Quantity" dataDxfId="9"/>
    <tableColumn id="6" xr3:uid="{F61971A5-FC5B-45B0-B32E-539B33A4AD2A}" name="Category" dataDxfId="3"/>
    <tableColumn id="7" xr3:uid="{768A08C5-9522-4C0C-84B8-BB26F20E1008}" name="Missing Price ($)" dataDxfId="1">
      <calculatedColumnFormula>IF(ISBLANK(D2),AVERAGE($D$2:$D$32),D2)</calculatedColumnFormula>
    </tableColumn>
    <tableColumn id="8" xr3:uid="{FD59CE98-E354-4D9F-BB84-948639EA1BFE}" name="Round Missing Price ($)" dataDxfId="2">
      <calculatedColumnFormula>ROUND(G2,0)</calculatedColumnFormula>
    </tableColumn>
    <tableColumn id="9" xr3:uid="{8D05D8F6-B03A-46AA-BE1B-5D552326171A}" name="Missing Category">
      <calculatedColumnFormula>IF(ISBLANK(F2),"N/A",F2)</calculatedColumnFormula>
    </tableColumn>
    <tableColumn id="10" xr3:uid="{8935CE1C-16FC-411D-94E0-1CE26A67CFCC}" name="Manufacturing Date" dataDxfId="8">
      <calculatedColumnFormula>LEFT(A2,6)</calculatedColumnFormula>
    </tableColumn>
    <tableColumn id="11" xr3:uid="{94AE4759-B3E4-48E1-8F4B-A536B05E8883}" name="Country Code" dataDxfId="7">
      <calculatedColumnFormula>RIGHT(A2,2)</calculatedColumnFormula>
    </tableColumn>
    <tableColumn id="12" xr3:uid="{9DC69BBC-7C8E-4781-A715-5D0AB4831EAE}" name="Product Brand" dataDxfId="6">
      <calculatedColumnFormula>CONCATENATE(Table1[[#This Row],[Brand Name]]," ",Table1[[#This Row],[Product Name]])</calculatedColumnFormula>
    </tableColumn>
    <tableColumn id="13" xr3:uid="{C7521A48-37F1-453B-B568-7B9A8AEDDD65}" name="DD-MM-YYYY" dataDxfId="5">
      <calculatedColumnFormula>TEXT(A2,"DD-MM-YYYY")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sqref="A1:XFD104857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workbookViewId="0">
      <selection activeCell="A3" sqref="A3"/>
    </sheetView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4" width="12.6640625" style="19" customWidth="1"/>
    <col min="5" max="5" width="12.6640625" style="11" customWidth="1"/>
    <col min="6" max="6" width="12.6640625" customWidth="1"/>
    <col min="7" max="7" width="21.21875" style="10" bestFit="1" customWidth="1"/>
    <col min="8" max="8" width="27.77734375" style="16" bestFit="1" customWidth="1"/>
    <col min="9" max="9" width="18" customWidth="1"/>
    <col min="10" max="10" width="19.88671875" style="11" customWidth="1"/>
    <col min="11" max="11" width="15.109375" style="11" customWidth="1"/>
    <col min="12" max="12" width="21.44140625" bestFit="1" customWidth="1"/>
    <col min="13" max="14" width="14.21875" customWidth="1"/>
    <col min="15" max="16" width="30.21875" bestFit="1" customWidth="1"/>
  </cols>
  <sheetData>
    <row r="1" spans="1:15" s="11" customFormat="1" ht="15.75" customHeight="1" x14ac:dyDescent="0.25">
      <c r="A1" s="7" t="s">
        <v>19</v>
      </c>
      <c r="B1" s="7" t="s">
        <v>20</v>
      </c>
      <c r="C1" s="7" t="s">
        <v>21</v>
      </c>
      <c r="D1" s="18" t="s">
        <v>22</v>
      </c>
      <c r="E1" s="7" t="s">
        <v>23</v>
      </c>
      <c r="F1" s="7" t="s">
        <v>24</v>
      </c>
      <c r="G1" s="14" t="s">
        <v>132</v>
      </c>
      <c r="H1" s="15" t="s">
        <v>133</v>
      </c>
      <c r="I1" s="9" t="s">
        <v>114</v>
      </c>
      <c r="J1" s="9" t="s">
        <v>115</v>
      </c>
      <c r="K1" s="9" t="s">
        <v>116</v>
      </c>
      <c r="L1" s="9" t="s">
        <v>117</v>
      </c>
      <c r="M1" s="9" t="s">
        <v>131</v>
      </c>
      <c r="N1" s="17"/>
    </row>
    <row r="2" spans="1:15" ht="15.75" customHeight="1" x14ac:dyDescent="0.25">
      <c r="A2" s="5" t="s">
        <v>25</v>
      </c>
      <c r="B2" s="5" t="s">
        <v>58</v>
      </c>
      <c r="C2" s="5" t="s">
        <v>26</v>
      </c>
      <c r="D2" s="20">
        <v>1000</v>
      </c>
      <c r="E2" s="12">
        <v>30</v>
      </c>
      <c r="F2" s="5" t="s">
        <v>27</v>
      </c>
      <c r="G2" s="10">
        <f>IF(ISBLANK(D2),AVERAGE($D$2:$D$32),D2)</f>
        <v>1000</v>
      </c>
      <c r="H2" s="16">
        <f>ROUND(G2,0)</f>
        <v>1000</v>
      </c>
      <c r="I2" t="str">
        <f>IF(ISBLANK(F2),"N/A",F2)</f>
        <v>Electronics</v>
      </c>
      <c r="J2" s="11" t="str">
        <f>LEFT(A2,6)</f>
        <v>28-JAN</v>
      </c>
      <c r="K2" s="11" t="str">
        <f>RIGHT(A2,2)</f>
        <v>US</v>
      </c>
      <c r="L2" t="str">
        <f>CONCATENATE(Table1[[#This Row],[Brand Name]]," ",Table1[[#This Row],[Product Name]])</f>
        <v>Dell Laptop</v>
      </c>
      <c r="M2" s="17" t="str">
        <f>TEXT(A2,"DD-MM-YYYY")</f>
        <v>28-JAN-US</v>
      </c>
      <c r="N2" s="17"/>
      <c r="O2" s="25" t="s">
        <v>134</v>
      </c>
    </row>
    <row r="3" spans="1:15" ht="15.75" customHeight="1" x14ac:dyDescent="0.25">
      <c r="A3" s="8" t="s">
        <v>28</v>
      </c>
      <c r="B3" s="8" t="s">
        <v>29</v>
      </c>
      <c r="C3" s="8" t="s">
        <v>30</v>
      </c>
      <c r="D3" s="21">
        <v>80</v>
      </c>
      <c r="E3" s="13">
        <v>15</v>
      </c>
      <c r="F3" s="8" t="s">
        <v>31</v>
      </c>
      <c r="G3" s="10">
        <f>IF(ISBLANK(D3),AVERAGE($D$2:$D$32),D3)</f>
        <v>80</v>
      </c>
      <c r="H3" s="16">
        <f t="shared" ref="H3:H32" si="0">ROUND(G3,0)</f>
        <v>80</v>
      </c>
      <c r="I3" t="str">
        <f t="shared" ref="I3:I32" si="1">IF(ISBLANK(F3),"N/A",F3)</f>
        <v>Fashion</v>
      </c>
      <c r="J3" s="11" t="str">
        <f t="shared" ref="J3:J32" si="2">LEFT(A3,6)</f>
        <v>15-FEB</v>
      </c>
      <c r="K3" s="11" t="str">
        <f t="shared" ref="K3:K32" si="3">RIGHT(A3,2)</f>
        <v>US</v>
      </c>
      <c r="L3" t="str">
        <f>CONCATENATE(Table1[[#This Row],[Brand Name]]," ",Table1[[#This Row],[Product Name]])</f>
        <v>Nike Sneakers</v>
      </c>
      <c r="M3" s="17" t="str">
        <f t="shared" ref="M3:M32" si="4">TEXT(A3,"DD-MM-YYYY")</f>
        <v>15-FEB-US</v>
      </c>
      <c r="N3" s="17"/>
      <c r="O3" s="26" t="s">
        <v>135</v>
      </c>
    </row>
    <row r="4" spans="1:15" ht="15.75" customHeight="1" x14ac:dyDescent="0.25">
      <c r="A4" s="5" t="s">
        <v>32</v>
      </c>
      <c r="B4" s="5" t="s">
        <v>33</v>
      </c>
      <c r="C4" s="5" t="s">
        <v>34</v>
      </c>
      <c r="D4" s="20">
        <v>130</v>
      </c>
      <c r="E4" s="12">
        <v>40</v>
      </c>
      <c r="F4" s="5" t="s">
        <v>35</v>
      </c>
      <c r="G4" s="10">
        <f t="shared" ref="G4:G30" si="5">IF(ISBLANK(D4),AVERAGE($D$2:$D$32),D4)</f>
        <v>130</v>
      </c>
      <c r="H4" s="16">
        <f t="shared" si="0"/>
        <v>130</v>
      </c>
      <c r="I4" t="str">
        <f t="shared" si="1"/>
        <v>Kitchen</v>
      </c>
      <c r="J4" s="11" t="str">
        <f t="shared" si="2"/>
        <v>03-MAR</v>
      </c>
      <c r="K4" s="11" t="str">
        <f t="shared" si="3"/>
        <v>US</v>
      </c>
      <c r="L4" t="str">
        <f>CONCATENATE(Table1[[#This Row],[Brand Name]]," ",Table1[[#This Row],[Product Name]])</f>
        <v>Keurig Coffee Maker</v>
      </c>
      <c r="M4" s="17" t="str">
        <f t="shared" si="4"/>
        <v>03-MAR-US</v>
      </c>
      <c r="N4" s="17"/>
      <c r="O4" s="26" t="s">
        <v>136</v>
      </c>
    </row>
    <row r="5" spans="1:15" ht="15.75" customHeight="1" x14ac:dyDescent="0.25">
      <c r="A5" s="8" t="s">
        <v>36</v>
      </c>
      <c r="B5" s="8" t="s">
        <v>92</v>
      </c>
      <c r="C5" s="8" t="s">
        <v>37</v>
      </c>
      <c r="D5" s="21">
        <v>900</v>
      </c>
      <c r="E5" s="13">
        <v>25</v>
      </c>
      <c r="F5" s="8" t="s">
        <v>27</v>
      </c>
      <c r="G5" s="10">
        <f t="shared" si="5"/>
        <v>900</v>
      </c>
      <c r="H5" s="16">
        <f t="shared" si="0"/>
        <v>900</v>
      </c>
      <c r="I5" t="str">
        <f t="shared" si="1"/>
        <v>Electronics</v>
      </c>
      <c r="J5" s="11" t="str">
        <f t="shared" si="2"/>
        <v>11-APR</v>
      </c>
      <c r="K5" s="11" t="str">
        <f t="shared" si="3"/>
        <v>US</v>
      </c>
      <c r="L5" t="str">
        <f>CONCATENATE(Table1[[#This Row],[Brand Name]]," ",Table1[[#This Row],[Product Name]])</f>
        <v>Samsung Smartphone</v>
      </c>
      <c r="M5" s="17" t="str">
        <f t="shared" si="4"/>
        <v>11-APR-US</v>
      </c>
      <c r="N5" s="17"/>
      <c r="O5" s="5"/>
    </row>
    <row r="6" spans="1:15" ht="15.75" customHeight="1" x14ac:dyDescent="0.25">
      <c r="A6" s="5" t="s">
        <v>38</v>
      </c>
      <c r="B6" s="5" t="s">
        <v>39</v>
      </c>
      <c r="C6" s="5" t="s">
        <v>40</v>
      </c>
      <c r="D6" s="20">
        <v>70</v>
      </c>
      <c r="E6" s="12">
        <v>20</v>
      </c>
      <c r="F6" s="5"/>
      <c r="G6" s="10">
        <f t="shared" si="5"/>
        <v>70</v>
      </c>
      <c r="H6" s="16">
        <f t="shared" si="0"/>
        <v>70</v>
      </c>
      <c r="I6" t="str">
        <f t="shared" si="1"/>
        <v>N/A</v>
      </c>
      <c r="J6" s="11" t="str">
        <f t="shared" si="2"/>
        <v>22-MAY</v>
      </c>
      <c r="K6" s="11" t="str">
        <f t="shared" si="3"/>
        <v>US</v>
      </c>
      <c r="L6" t="str">
        <f>CONCATENATE(Table1[[#This Row],[Brand Name]]," ",Table1[[#This Row],[Product Name]])</f>
        <v>North Face Backpack</v>
      </c>
      <c r="M6" s="17" t="str">
        <f t="shared" si="4"/>
        <v>22-MAY-US</v>
      </c>
      <c r="N6" s="17"/>
    </row>
    <row r="7" spans="1:15" ht="15.75" customHeight="1" x14ac:dyDescent="0.25">
      <c r="A7" s="8" t="s">
        <v>41</v>
      </c>
      <c r="B7" s="8" t="s">
        <v>42</v>
      </c>
      <c r="C7" s="8" t="s">
        <v>43</v>
      </c>
      <c r="D7" s="21"/>
      <c r="E7" s="13">
        <v>45</v>
      </c>
      <c r="F7" s="8" t="s">
        <v>27</v>
      </c>
      <c r="G7" s="10">
        <f>IF(ISBLANK(D7),AVERAGE($D$2:$D$32),D7)</f>
        <v>297.85714285714283</v>
      </c>
      <c r="H7" s="16">
        <f t="shared" si="0"/>
        <v>298</v>
      </c>
      <c r="I7" t="str">
        <f t="shared" si="1"/>
        <v>Electronics</v>
      </c>
      <c r="J7" s="11" t="str">
        <f t="shared" si="2"/>
        <v>07-JUN</v>
      </c>
      <c r="K7" s="11" t="str">
        <f t="shared" si="3"/>
        <v>UK</v>
      </c>
      <c r="L7" t="str">
        <f>CONCATENATE(Table1[[#This Row],[Brand Name]]," ",Table1[[#This Row],[Product Name]])</f>
        <v>Sony Headphones</v>
      </c>
      <c r="M7" s="17" t="str">
        <f t="shared" si="4"/>
        <v>07-JUN-UK</v>
      </c>
      <c r="N7" s="17"/>
    </row>
    <row r="8" spans="1:15" ht="15.75" customHeight="1" x14ac:dyDescent="0.25">
      <c r="A8" s="5" t="s">
        <v>44</v>
      </c>
      <c r="B8" s="5" t="s">
        <v>45</v>
      </c>
      <c r="C8" s="5" t="s">
        <v>46</v>
      </c>
      <c r="D8" s="20">
        <v>30</v>
      </c>
      <c r="E8" s="12">
        <v>5</v>
      </c>
      <c r="F8" s="5" t="s">
        <v>31</v>
      </c>
      <c r="G8" s="10">
        <f t="shared" si="5"/>
        <v>30</v>
      </c>
      <c r="H8" s="16">
        <f t="shared" si="0"/>
        <v>30</v>
      </c>
      <c r="I8" t="str">
        <f t="shared" si="1"/>
        <v>Fashion</v>
      </c>
      <c r="J8" s="11" t="str">
        <f t="shared" si="2"/>
        <v>19-JUL</v>
      </c>
      <c r="K8" s="11" t="str">
        <f t="shared" si="3"/>
        <v>UK</v>
      </c>
      <c r="L8" t="str">
        <f>CONCATENATE(Table1[[#This Row],[Brand Name]]," ",Table1[[#This Row],[Product Name]])</f>
        <v>Adidas T-shirt</v>
      </c>
      <c r="M8" s="17" t="str">
        <f t="shared" si="4"/>
        <v>19-JUL-UK</v>
      </c>
      <c r="N8" s="17"/>
    </row>
    <row r="9" spans="1:15" ht="15.75" customHeight="1" x14ac:dyDescent="0.25">
      <c r="A9" s="8" t="s">
        <v>47</v>
      </c>
      <c r="B9" s="8" t="s">
        <v>48</v>
      </c>
      <c r="C9" s="8" t="s">
        <v>49</v>
      </c>
      <c r="D9" s="21">
        <v>90</v>
      </c>
      <c r="E9" s="13">
        <v>35</v>
      </c>
      <c r="F9" s="8" t="s">
        <v>35</v>
      </c>
      <c r="G9" s="10">
        <f t="shared" si="5"/>
        <v>90</v>
      </c>
      <c r="H9" s="16">
        <f t="shared" si="0"/>
        <v>90</v>
      </c>
      <c r="I9" t="str">
        <f t="shared" si="1"/>
        <v>Kitchen</v>
      </c>
      <c r="J9" s="11" t="str">
        <f t="shared" si="2"/>
        <v>23-AUG</v>
      </c>
      <c r="K9" s="11" t="str">
        <f t="shared" si="3"/>
        <v>UK</v>
      </c>
      <c r="L9" t="str">
        <f>CONCATENATE(Table1[[#This Row],[Brand Name]]," ",Table1[[#This Row],[Product Name]])</f>
        <v>Ninja Blender</v>
      </c>
      <c r="M9" s="17" t="str">
        <f t="shared" si="4"/>
        <v>23-AUG-UK</v>
      </c>
      <c r="N9" s="17"/>
    </row>
    <row r="10" spans="1:15" ht="15.75" customHeight="1" x14ac:dyDescent="0.25">
      <c r="A10" s="5" t="s">
        <v>50</v>
      </c>
      <c r="B10" s="5" t="s">
        <v>51</v>
      </c>
      <c r="C10" s="5" t="s">
        <v>52</v>
      </c>
      <c r="D10" s="20">
        <v>500</v>
      </c>
      <c r="E10" s="12">
        <v>50</v>
      </c>
      <c r="F10" s="5" t="s">
        <v>27</v>
      </c>
      <c r="G10" s="10">
        <f t="shared" si="5"/>
        <v>500</v>
      </c>
      <c r="H10" s="16">
        <f t="shared" si="0"/>
        <v>500</v>
      </c>
      <c r="I10" t="str">
        <f t="shared" si="1"/>
        <v>Electronics</v>
      </c>
      <c r="J10" s="11" t="str">
        <f t="shared" si="2"/>
        <v>05-SEP</v>
      </c>
      <c r="K10" s="11" t="str">
        <f t="shared" si="3"/>
        <v>UK</v>
      </c>
      <c r="L10" t="str">
        <f>CONCATENATE(Table1[[#This Row],[Brand Name]]," ",Table1[[#This Row],[Product Name]])</f>
        <v>Apple Tablet</v>
      </c>
      <c r="M10" s="17" t="str">
        <f t="shared" si="4"/>
        <v>05-SEP-UK</v>
      </c>
      <c r="N10" s="17"/>
    </row>
    <row r="11" spans="1:15" ht="15.75" customHeight="1" x14ac:dyDescent="0.25">
      <c r="A11" s="8" t="s">
        <v>53</v>
      </c>
      <c r="B11" s="8" t="s">
        <v>54</v>
      </c>
      <c r="C11" s="8" t="s">
        <v>55</v>
      </c>
      <c r="D11" s="21">
        <v>130</v>
      </c>
      <c r="E11" s="13">
        <v>10</v>
      </c>
      <c r="F11" s="8" t="s">
        <v>56</v>
      </c>
      <c r="G11" s="10">
        <f t="shared" si="5"/>
        <v>130</v>
      </c>
      <c r="H11" s="16">
        <f t="shared" si="0"/>
        <v>130</v>
      </c>
      <c r="I11" t="str">
        <f t="shared" si="1"/>
        <v>Outdoor</v>
      </c>
      <c r="J11" s="11" t="str">
        <f t="shared" si="2"/>
        <v>14-OCT</v>
      </c>
      <c r="K11" s="11" t="str">
        <f t="shared" si="3"/>
        <v>UK</v>
      </c>
      <c r="L11" t="str">
        <f>CONCATENATE(Table1[[#This Row],[Brand Name]]," ",Table1[[#This Row],[Product Name]])</f>
        <v>Timberland Hiking Boots</v>
      </c>
      <c r="M11" s="17" t="str">
        <f t="shared" si="4"/>
        <v>14-OCT-UK</v>
      </c>
      <c r="N11" s="17"/>
    </row>
    <row r="12" spans="1:15" ht="15.75" customHeight="1" x14ac:dyDescent="0.25">
      <c r="A12" s="5" t="s">
        <v>57</v>
      </c>
      <c r="B12" s="5" t="s">
        <v>58</v>
      </c>
      <c r="C12" s="5" t="s">
        <v>59</v>
      </c>
      <c r="D12" s="20">
        <v>950</v>
      </c>
      <c r="E12" s="12">
        <v>25</v>
      </c>
      <c r="F12" s="5" t="s">
        <v>27</v>
      </c>
      <c r="G12" s="10">
        <f t="shared" si="5"/>
        <v>950</v>
      </c>
      <c r="H12" s="16">
        <f t="shared" si="0"/>
        <v>950</v>
      </c>
      <c r="I12" t="str">
        <f t="shared" si="1"/>
        <v>Electronics</v>
      </c>
      <c r="J12" s="11" t="str">
        <f t="shared" si="2"/>
        <v>17-JUN</v>
      </c>
      <c r="K12" s="11" t="str">
        <f t="shared" si="3"/>
        <v>IN</v>
      </c>
      <c r="L12" t="str">
        <f>CONCATENATE(Table1[[#This Row],[Brand Name]]," ",Table1[[#This Row],[Product Name]])</f>
        <v>HP Laptop</v>
      </c>
      <c r="M12" s="17" t="str">
        <f t="shared" si="4"/>
        <v>17-JUN-IN</v>
      </c>
      <c r="N12" s="17"/>
    </row>
    <row r="13" spans="1:15" ht="15.75" customHeight="1" x14ac:dyDescent="0.25">
      <c r="A13" s="8" t="s">
        <v>60</v>
      </c>
      <c r="B13" s="8" t="s">
        <v>29</v>
      </c>
      <c r="C13" s="8" t="s">
        <v>46</v>
      </c>
      <c r="D13" s="21">
        <v>90</v>
      </c>
      <c r="E13" s="13">
        <v>40</v>
      </c>
      <c r="F13" s="8"/>
      <c r="G13" s="10">
        <f t="shared" si="5"/>
        <v>90</v>
      </c>
      <c r="H13" s="16">
        <f t="shared" si="0"/>
        <v>90</v>
      </c>
      <c r="I13" t="str">
        <f t="shared" si="1"/>
        <v>N/A</v>
      </c>
      <c r="J13" s="11" t="str">
        <f t="shared" si="2"/>
        <v>25-NOV</v>
      </c>
      <c r="K13" s="11" t="str">
        <f t="shared" si="3"/>
        <v>AU</v>
      </c>
      <c r="L13" t="str">
        <f>CONCATENATE(Table1[[#This Row],[Brand Name]]," ",Table1[[#This Row],[Product Name]])</f>
        <v>Adidas Sneakers</v>
      </c>
      <c r="M13" s="17" t="str">
        <f t="shared" si="4"/>
        <v>25-NOV-AU</v>
      </c>
      <c r="N13" s="17"/>
    </row>
    <row r="14" spans="1:15" ht="15.75" customHeight="1" x14ac:dyDescent="0.25">
      <c r="A14" s="5" t="s">
        <v>61</v>
      </c>
      <c r="B14" s="5" t="s">
        <v>33</v>
      </c>
      <c r="C14" s="5" t="s">
        <v>62</v>
      </c>
      <c r="D14" s="20">
        <v>120</v>
      </c>
      <c r="E14" s="12">
        <v>35</v>
      </c>
      <c r="F14" s="5"/>
      <c r="G14" s="10">
        <f t="shared" si="5"/>
        <v>120</v>
      </c>
      <c r="H14" s="16">
        <f t="shared" si="0"/>
        <v>120</v>
      </c>
      <c r="I14" t="str">
        <f t="shared" si="1"/>
        <v>N/A</v>
      </c>
      <c r="J14" s="11" t="str">
        <f t="shared" si="2"/>
        <v>08-DEC</v>
      </c>
      <c r="K14" s="11" t="str">
        <f t="shared" si="3"/>
        <v>DE</v>
      </c>
      <c r="L14" t="str">
        <f>CONCATENATE(Table1[[#This Row],[Brand Name]]," ",Table1[[#This Row],[Product Name]])</f>
        <v>Nespresso Coffee Maker</v>
      </c>
      <c r="M14" s="17" t="str">
        <f t="shared" si="4"/>
        <v>08-DEC-DE</v>
      </c>
      <c r="N14" s="17"/>
    </row>
    <row r="15" spans="1:15" ht="15.75" customHeight="1" x14ac:dyDescent="0.25">
      <c r="A15" s="8" t="s">
        <v>63</v>
      </c>
      <c r="B15" s="8" t="s">
        <v>64</v>
      </c>
      <c r="C15" s="8" t="s">
        <v>65</v>
      </c>
      <c r="D15" s="21">
        <v>150</v>
      </c>
      <c r="E15" s="13">
        <v>15</v>
      </c>
      <c r="F15" s="8" t="s">
        <v>27</v>
      </c>
      <c r="G15" s="10">
        <f t="shared" si="5"/>
        <v>150</v>
      </c>
      <c r="H15" s="16">
        <f t="shared" si="0"/>
        <v>150</v>
      </c>
      <c r="I15" t="str">
        <f t="shared" si="1"/>
        <v>Electronics</v>
      </c>
      <c r="J15" s="11" t="str">
        <f t="shared" si="2"/>
        <v>18-FEB</v>
      </c>
      <c r="K15" s="11" t="str">
        <f t="shared" si="3"/>
        <v>CA</v>
      </c>
      <c r="L15" t="str">
        <f>CONCATENATE(Table1[[#This Row],[Brand Name]]," ",Table1[[#This Row],[Product Name]])</f>
        <v>Fitbit Smartwatch</v>
      </c>
      <c r="M15" s="17" t="str">
        <f t="shared" si="4"/>
        <v>18-FEB-CA</v>
      </c>
      <c r="N15" s="17"/>
    </row>
    <row r="16" spans="1:15" ht="15.75" customHeight="1" x14ac:dyDescent="0.25">
      <c r="A16" s="5" t="s">
        <v>66</v>
      </c>
      <c r="B16" s="5" t="s">
        <v>42</v>
      </c>
      <c r="C16" s="5" t="s">
        <v>67</v>
      </c>
      <c r="D16" s="20">
        <v>250</v>
      </c>
      <c r="E16" s="12">
        <v>20</v>
      </c>
      <c r="F16" s="5" t="s">
        <v>27</v>
      </c>
      <c r="G16" s="10">
        <f t="shared" si="5"/>
        <v>250</v>
      </c>
      <c r="H16" s="16">
        <f t="shared" si="0"/>
        <v>250</v>
      </c>
      <c r="I16" t="str">
        <f t="shared" si="1"/>
        <v>Electronics</v>
      </c>
      <c r="J16" s="11" t="str">
        <f t="shared" si="2"/>
        <v>16-APR</v>
      </c>
      <c r="K16" s="11" t="str">
        <f t="shared" si="3"/>
        <v>ES</v>
      </c>
      <c r="L16" t="str">
        <f>CONCATENATE(Table1[[#This Row],[Brand Name]]," ",Table1[[#This Row],[Product Name]])</f>
        <v>Bose Headphones</v>
      </c>
      <c r="M16" s="17" t="str">
        <f t="shared" si="4"/>
        <v>16-APR-ES</v>
      </c>
      <c r="N16" s="17"/>
    </row>
    <row r="17" spans="1:14" ht="15.75" customHeight="1" x14ac:dyDescent="0.25">
      <c r="A17" s="8" t="s">
        <v>68</v>
      </c>
      <c r="B17" s="8" t="s">
        <v>69</v>
      </c>
      <c r="C17" s="8" t="s">
        <v>70</v>
      </c>
      <c r="D17" s="21">
        <v>50</v>
      </c>
      <c r="E17" s="13">
        <v>35</v>
      </c>
      <c r="F17" s="8" t="s">
        <v>71</v>
      </c>
      <c r="G17" s="10">
        <f t="shared" si="5"/>
        <v>50</v>
      </c>
      <c r="H17" s="16">
        <f t="shared" si="0"/>
        <v>50</v>
      </c>
      <c r="I17" t="str">
        <f t="shared" si="1"/>
        <v>Accessories</v>
      </c>
      <c r="J17" s="11" t="str">
        <f t="shared" si="2"/>
        <v>21-AUG</v>
      </c>
      <c r="K17" s="11" t="str">
        <f t="shared" si="3"/>
        <v>CA</v>
      </c>
      <c r="L17" t="str">
        <f>CONCATENATE(Table1[[#This Row],[Brand Name]]," ",Table1[[#This Row],[Product Name]])</f>
        <v>Samsonite Laptop Bag</v>
      </c>
      <c r="M17" s="17" t="str">
        <f t="shared" si="4"/>
        <v>21-AUG-CA</v>
      </c>
      <c r="N17" s="17"/>
    </row>
    <row r="18" spans="1:14" ht="15.75" customHeight="1" x14ac:dyDescent="0.25">
      <c r="A18" s="5" t="s">
        <v>72</v>
      </c>
      <c r="B18" s="5" t="s">
        <v>64</v>
      </c>
      <c r="C18" s="5" t="s">
        <v>73</v>
      </c>
      <c r="D18" s="20">
        <v>160</v>
      </c>
      <c r="E18" s="12">
        <v>15</v>
      </c>
      <c r="F18" s="5" t="s">
        <v>27</v>
      </c>
      <c r="G18" s="10">
        <f t="shared" si="5"/>
        <v>160</v>
      </c>
      <c r="H18" s="16">
        <f t="shared" si="0"/>
        <v>160</v>
      </c>
      <c r="I18" t="str">
        <f t="shared" si="1"/>
        <v>Electronics</v>
      </c>
      <c r="J18" s="11" t="str">
        <f t="shared" si="2"/>
        <v>20-AUG</v>
      </c>
      <c r="K18" s="11" t="str">
        <f t="shared" si="3"/>
        <v>CN</v>
      </c>
      <c r="L18" t="str">
        <f>CONCATENATE(Table1[[#This Row],[Brand Name]]," ",Table1[[#This Row],[Product Name]])</f>
        <v>Huawei Smartwatch</v>
      </c>
      <c r="M18" s="17" t="str">
        <f t="shared" si="4"/>
        <v>20-AUG-CN</v>
      </c>
      <c r="N18" s="17"/>
    </row>
    <row r="19" spans="1:14" ht="15.75" customHeight="1" x14ac:dyDescent="0.25">
      <c r="A19" s="8" t="s">
        <v>74</v>
      </c>
      <c r="B19" s="8" t="s">
        <v>58</v>
      </c>
      <c r="C19" s="8" t="s">
        <v>75</v>
      </c>
      <c r="D19" s="21">
        <v>980</v>
      </c>
      <c r="E19" s="13">
        <v>10</v>
      </c>
      <c r="F19" s="8" t="s">
        <v>27</v>
      </c>
      <c r="G19" s="10">
        <f t="shared" si="5"/>
        <v>980</v>
      </c>
      <c r="H19" s="16">
        <f t="shared" si="0"/>
        <v>980</v>
      </c>
      <c r="I19" t="str">
        <f t="shared" si="1"/>
        <v>Electronics</v>
      </c>
      <c r="J19" s="11" t="str">
        <f t="shared" si="2"/>
        <v>27-JAN</v>
      </c>
      <c r="K19" s="11" t="str">
        <f t="shared" si="3"/>
        <v>IT</v>
      </c>
      <c r="L19" t="str">
        <f>CONCATENATE(Table1[[#This Row],[Brand Name]]," ",Table1[[#This Row],[Product Name]])</f>
        <v>Asus Laptop</v>
      </c>
      <c r="M19" s="17" t="str">
        <f t="shared" si="4"/>
        <v>27-JAN-IT</v>
      </c>
      <c r="N19" s="17"/>
    </row>
    <row r="20" spans="1:14" ht="15.75" customHeight="1" x14ac:dyDescent="0.25">
      <c r="A20" s="5" t="s">
        <v>76</v>
      </c>
      <c r="B20" s="5" t="s">
        <v>77</v>
      </c>
      <c r="C20" s="5" t="s">
        <v>78</v>
      </c>
      <c r="D20" s="20">
        <v>150</v>
      </c>
      <c r="E20" s="12">
        <v>15</v>
      </c>
      <c r="F20" s="5" t="s">
        <v>31</v>
      </c>
      <c r="G20" s="10">
        <f t="shared" si="5"/>
        <v>150</v>
      </c>
      <c r="H20" s="16">
        <f t="shared" si="0"/>
        <v>150</v>
      </c>
      <c r="I20" t="str">
        <f t="shared" si="1"/>
        <v>Fashion</v>
      </c>
      <c r="J20" s="11" t="str">
        <f t="shared" si="2"/>
        <v>01-MAR</v>
      </c>
      <c r="K20" s="11" t="str">
        <f t="shared" si="3"/>
        <v>UK</v>
      </c>
      <c r="L20" t="str">
        <f>CONCATENATE(Table1[[#This Row],[Brand Name]]," ",Table1[[#This Row],[Product Name]])</f>
        <v>Oakley Sunglasses</v>
      </c>
      <c r="M20" s="17" t="str">
        <f t="shared" si="4"/>
        <v>01-MAR-UK</v>
      </c>
      <c r="N20" s="17"/>
    </row>
    <row r="21" spans="1:14" ht="15.75" customHeight="1" x14ac:dyDescent="0.25">
      <c r="A21" s="8" t="s">
        <v>79</v>
      </c>
      <c r="B21" s="8" t="s">
        <v>80</v>
      </c>
      <c r="C21" s="8" t="s">
        <v>81</v>
      </c>
      <c r="D21" s="21"/>
      <c r="E21" s="13">
        <v>10</v>
      </c>
      <c r="F21" s="8" t="s">
        <v>56</v>
      </c>
      <c r="G21" s="10">
        <f t="shared" si="5"/>
        <v>297.85714285714283</v>
      </c>
      <c r="H21" s="16">
        <f t="shared" si="0"/>
        <v>298</v>
      </c>
      <c r="I21" t="str">
        <f t="shared" si="1"/>
        <v>Outdoor</v>
      </c>
      <c r="J21" s="11" t="str">
        <f t="shared" si="2"/>
        <v>14-AUG</v>
      </c>
      <c r="K21" s="11" t="str">
        <f t="shared" si="3"/>
        <v>US</v>
      </c>
      <c r="L21" t="str">
        <f>CONCATENATE(Table1[[#This Row],[Brand Name]]," ",Table1[[#This Row],[Product Name]])</f>
        <v>Coleman Camping Tent</v>
      </c>
      <c r="M21" s="17" t="str">
        <f t="shared" si="4"/>
        <v>14-AUG-US</v>
      </c>
      <c r="N21" s="17"/>
    </row>
    <row r="22" spans="1:14" ht="15.75" customHeight="1" x14ac:dyDescent="0.25">
      <c r="A22" s="5" t="s">
        <v>82</v>
      </c>
      <c r="B22" s="5" t="s">
        <v>83</v>
      </c>
      <c r="C22" s="5" t="s">
        <v>84</v>
      </c>
      <c r="D22" s="20">
        <v>700</v>
      </c>
      <c r="E22" s="12">
        <v>50</v>
      </c>
      <c r="F22" s="5" t="s">
        <v>27</v>
      </c>
      <c r="G22" s="10">
        <f t="shared" si="5"/>
        <v>700</v>
      </c>
      <c r="H22" s="16">
        <f t="shared" si="0"/>
        <v>700</v>
      </c>
      <c r="I22" t="str">
        <f t="shared" si="1"/>
        <v>Electronics</v>
      </c>
      <c r="J22" s="11" t="str">
        <f t="shared" si="2"/>
        <v>14-MAY</v>
      </c>
      <c r="K22" s="11" t="str">
        <f t="shared" si="3"/>
        <v>RU</v>
      </c>
      <c r="L22" t="str">
        <f>CONCATENATE(Table1[[#This Row],[Brand Name]]," ",Table1[[#This Row],[Product Name]])</f>
        <v>Nikon Camera</v>
      </c>
      <c r="M22" s="17" t="str">
        <f t="shared" si="4"/>
        <v>14-MAY-RU</v>
      </c>
      <c r="N22" s="17"/>
    </row>
    <row r="23" spans="1:14" ht="15.75" customHeight="1" x14ac:dyDescent="0.25">
      <c r="A23" s="8" t="s">
        <v>85</v>
      </c>
      <c r="B23" s="8" t="s">
        <v>86</v>
      </c>
      <c r="C23" s="8" t="s">
        <v>87</v>
      </c>
      <c r="D23" s="21">
        <v>80</v>
      </c>
      <c r="E23" s="13">
        <v>20</v>
      </c>
      <c r="F23" s="8" t="s">
        <v>35</v>
      </c>
      <c r="G23" s="10">
        <f t="shared" si="5"/>
        <v>80</v>
      </c>
      <c r="H23" s="16">
        <f t="shared" si="0"/>
        <v>80</v>
      </c>
      <c r="I23" t="str">
        <f t="shared" si="1"/>
        <v>Kitchen</v>
      </c>
      <c r="J23" s="11" t="str">
        <f t="shared" si="2"/>
        <v>09-JAN</v>
      </c>
      <c r="K23" s="11" t="str">
        <f t="shared" si="3"/>
        <v>CA</v>
      </c>
      <c r="L23" t="str">
        <f>CONCATENATE(Table1[[#This Row],[Brand Name]]," ",Table1[[#This Row],[Product Name]])</f>
        <v>Panasonic Microwave</v>
      </c>
      <c r="M23" s="17" t="str">
        <f t="shared" si="4"/>
        <v>09-JAN-CA</v>
      </c>
      <c r="N23" s="17"/>
    </row>
    <row r="24" spans="1:14" ht="15.75" customHeight="1" x14ac:dyDescent="0.25">
      <c r="A24" s="5" t="s">
        <v>88</v>
      </c>
      <c r="B24" s="5" t="s">
        <v>89</v>
      </c>
      <c r="C24" s="5" t="s">
        <v>90</v>
      </c>
      <c r="D24" s="20">
        <v>150</v>
      </c>
      <c r="E24" s="12">
        <v>30</v>
      </c>
      <c r="F24" s="5"/>
      <c r="G24" s="10">
        <f t="shared" si="5"/>
        <v>150</v>
      </c>
      <c r="H24" s="16">
        <f t="shared" si="0"/>
        <v>150</v>
      </c>
      <c r="I24" t="str">
        <f t="shared" si="1"/>
        <v>N/A</v>
      </c>
      <c r="J24" s="11" t="str">
        <f t="shared" si="2"/>
        <v>19-JUL</v>
      </c>
      <c r="K24" s="11" t="str">
        <f t="shared" si="3"/>
        <v>BR</v>
      </c>
      <c r="L24" t="str">
        <f>CONCATENATE(Table1[[#This Row],[Brand Name]]," ",Table1[[#This Row],[Product Name]])</f>
        <v>Xiaomi Fitness Tracker</v>
      </c>
      <c r="M24" s="17" t="str">
        <f t="shared" si="4"/>
        <v>19-JUL-BR</v>
      </c>
      <c r="N24" s="17"/>
    </row>
    <row r="25" spans="1:14" ht="15.75" customHeight="1" x14ac:dyDescent="0.25">
      <c r="A25" s="5" t="s">
        <v>91</v>
      </c>
      <c r="B25" s="5" t="s">
        <v>92</v>
      </c>
      <c r="C25" s="5" t="s">
        <v>93</v>
      </c>
      <c r="D25" s="20">
        <v>800</v>
      </c>
      <c r="E25" s="12">
        <v>45</v>
      </c>
      <c r="F25" s="5" t="s">
        <v>27</v>
      </c>
      <c r="G25" s="10">
        <f t="shared" si="5"/>
        <v>800</v>
      </c>
      <c r="H25" s="16">
        <f t="shared" si="0"/>
        <v>800</v>
      </c>
      <c r="I25" t="str">
        <f t="shared" si="1"/>
        <v>Electronics</v>
      </c>
      <c r="J25" s="11" t="str">
        <f t="shared" si="2"/>
        <v>29-SEP</v>
      </c>
      <c r="K25" s="11" t="str">
        <f t="shared" si="3"/>
        <v>CA</v>
      </c>
      <c r="L25" t="str">
        <f>CONCATENATE(Table1[[#This Row],[Brand Name]]," ",Table1[[#This Row],[Product Name]])</f>
        <v>Google Smartphone</v>
      </c>
      <c r="M25" s="17" t="str">
        <f t="shared" si="4"/>
        <v>29-SEP-CA</v>
      </c>
      <c r="N25" s="17"/>
    </row>
    <row r="26" spans="1:14" ht="15.75" customHeight="1" x14ac:dyDescent="0.25">
      <c r="A26" s="8" t="s">
        <v>94</v>
      </c>
      <c r="B26" s="8" t="s">
        <v>77</v>
      </c>
      <c r="C26" s="8" t="s">
        <v>95</v>
      </c>
      <c r="D26" s="21"/>
      <c r="E26" s="13">
        <v>25</v>
      </c>
      <c r="F26" s="8" t="s">
        <v>31</v>
      </c>
      <c r="G26" s="10">
        <f t="shared" si="5"/>
        <v>297.85714285714283</v>
      </c>
      <c r="H26" s="16">
        <f t="shared" si="0"/>
        <v>298</v>
      </c>
      <c r="I26" t="str">
        <f t="shared" si="1"/>
        <v>Fashion</v>
      </c>
      <c r="J26" s="11" t="str">
        <f t="shared" si="2"/>
        <v>03-JUN</v>
      </c>
      <c r="K26" s="11" t="str">
        <f t="shared" si="3"/>
        <v>CA</v>
      </c>
      <c r="L26" t="str">
        <f>CONCATENATE(Table1[[#This Row],[Brand Name]]," ",Table1[[#This Row],[Product Name]])</f>
        <v>Ray-Ban Sunglasses</v>
      </c>
      <c r="M26" s="17" t="str">
        <f t="shared" si="4"/>
        <v>03-JUN-CA</v>
      </c>
      <c r="N26" s="17"/>
    </row>
    <row r="27" spans="1:14" ht="15.75" customHeight="1" x14ac:dyDescent="0.25">
      <c r="A27" s="5" t="s">
        <v>96</v>
      </c>
      <c r="B27" s="5" t="s">
        <v>48</v>
      </c>
      <c r="C27" s="5" t="s">
        <v>97</v>
      </c>
      <c r="D27" s="20">
        <v>400</v>
      </c>
      <c r="E27" s="12">
        <v>40</v>
      </c>
      <c r="F27" s="5" t="s">
        <v>35</v>
      </c>
      <c r="G27" s="10">
        <f t="shared" si="5"/>
        <v>400</v>
      </c>
      <c r="H27" s="16">
        <f t="shared" si="0"/>
        <v>400</v>
      </c>
      <c r="I27" t="str">
        <f t="shared" si="1"/>
        <v>Kitchen</v>
      </c>
      <c r="J27" s="11" t="str">
        <f t="shared" si="2"/>
        <v>11-JUL</v>
      </c>
      <c r="K27" s="11" t="str">
        <f t="shared" si="3"/>
        <v>CA</v>
      </c>
      <c r="L27" t="str">
        <f>CONCATENATE(Table1[[#This Row],[Brand Name]]," ",Table1[[#This Row],[Product Name]])</f>
        <v>Vitamix Blender</v>
      </c>
      <c r="M27" s="17" t="str">
        <f t="shared" si="4"/>
        <v>11-JUL-CA</v>
      </c>
      <c r="N27" s="17"/>
    </row>
    <row r="28" spans="1:14" ht="15.75" customHeight="1" x14ac:dyDescent="0.25">
      <c r="A28" s="5" t="s">
        <v>98</v>
      </c>
      <c r="B28" s="5" t="s">
        <v>99</v>
      </c>
      <c r="C28" s="5" t="s">
        <v>100</v>
      </c>
      <c r="D28" s="20">
        <v>60</v>
      </c>
      <c r="E28" s="12">
        <v>30</v>
      </c>
      <c r="F28" s="5" t="s">
        <v>31</v>
      </c>
      <c r="G28" s="10">
        <f t="shared" si="5"/>
        <v>60</v>
      </c>
      <c r="H28" s="16">
        <f t="shared" si="0"/>
        <v>60</v>
      </c>
      <c r="I28" t="str">
        <f t="shared" si="1"/>
        <v>Fashion</v>
      </c>
      <c r="J28" s="11" t="str">
        <f t="shared" si="2"/>
        <v>07-MAR</v>
      </c>
      <c r="K28" s="11" t="str">
        <f t="shared" si="3"/>
        <v>CA</v>
      </c>
      <c r="L28" t="str">
        <f>CONCATENATE(Table1[[#This Row],[Brand Name]]," ",Table1[[#This Row],[Product Name]])</f>
        <v>Zara Dress</v>
      </c>
      <c r="M28" s="17" t="str">
        <f t="shared" si="4"/>
        <v>07-MAR-CA</v>
      </c>
      <c r="N28" s="17"/>
    </row>
    <row r="29" spans="1:14" ht="15.75" customHeight="1" x14ac:dyDescent="0.25">
      <c r="A29" s="8" t="s">
        <v>101</v>
      </c>
      <c r="B29" s="8" t="s">
        <v>102</v>
      </c>
      <c r="C29" s="8" t="s">
        <v>103</v>
      </c>
      <c r="D29" s="21">
        <v>40</v>
      </c>
      <c r="E29" s="13">
        <v>10</v>
      </c>
      <c r="F29" s="8" t="s">
        <v>35</v>
      </c>
      <c r="G29" s="10">
        <f t="shared" si="5"/>
        <v>40</v>
      </c>
      <c r="H29" s="16">
        <f t="shared" si="0"/>
        <v>40</v>
      </c>
      <c r="I29" t="str">
        <f t="shared" si="1"/>
        <v>Kitchen</v>
      </c>
      <c r="J29" s="11" t="str">
        <f t="shared" si="2"/>
        <v>13-APR</v>
      </c>
      <c r="K29" s="11" t="str">
        <f t="shared" si="3"/>
        <v>CA</v>
      </c>
      <c r="L29" t="str">
        <f>CONCATENATE(Table1[[#This Row],[Brand Name]]," ",Table1[[#This Row],[Product Name]])</f>
        <v>Hamilton Toaster</v>
      </c>
      <c r="M29" s="17" t="str">
        <f t="shared" si="4"/>
        <v>13-APR-CA</v>
      </c>
      <c r="N29" s="17"/>
    </row>
    <row r="30" spans="1:14" ht="15.75" customHeight="1" x14ac:dyDescent="0.25">
      <c r="A30" s="5" t="s">
        <v>104</v>
      </c>
      <c r="B30" s="5" t="s">
        <v>89</v>
      </c>
      <c r="C30" s="5" t="s">
        <v>105</v>
      </c>
      <c r="D30" s="20">
        <v>130</v>
      </c>
      <c r="E30" s="12">
        <v>5</v>
      </c>
      <c r="F30" s="5" t="s">
        <v>27</v>
      </c>
      <c r="G30" s="10">
        <f t="shared" si="5"/>
        <v>130</v>
      </c>
      <c r="H30" s="16">
        <f t="shared" si="0"/>
        <v>130</v>
      </c>
      <c r="I30" t="str">
        <f t="shared" si="1"/>
        <v>Electronics</v>
      </c>
      <c r="J30" s="11" t="str">
        <f t="shared" si="2"/>
        <v>24-MAY</v>
      </c>
      <c r="K30" s="11" t="str">
        <f t="shared" si="3"/>
        <v>CA</v>
      </c>
      <c r="L30" t="str">
        <f>CONCATENATE(Table1[[#This Row],[Brand Name]]," ",Table1[[#This Row],[Product Name]])</f>
        <v>Garmin Fitness Tracker</v>
      </c>
      <c r="M30" s="17" t="str">
        <f t="shared" si="4"/>
        <v>24-MAY-CA</v>
      </c>
      <c r="N30" s="17"/>
    </row>
    <row r="31" spans="1:14" ht="15.75" customHeight="1" x14ac:dyDescent="0.25">
      <c r="A31" s="8" t="s">
        <v>106</v>
      </c>
      <c r="B31" s="8" t="s">
        <v>107</v>
      </c>
      <c r="C31" s="8" t="s">
        <v>108</v>
      </c>
      <c r="D31" s="21">
        <v>50</v>
      </c>
      <c r="E31" s="13">
        <v>50</v>
      </c>
      <c r="F31" s="8" t="s">
        <v>31</v>
      </c>
      <c r="G31" s="10">
        <f>IF(ISBLANK(D31),AVERAGE($D$2:$D$32),D31)</f>
        <v>50</v>
      </c>
      <c r="H31" s="16">
        <f t="shared" si="0"/>
        <v>50</v>
      </c>
      <c r="I31" t="str">
        <f t="shared" si="1"/>
        <v>Fashion</v>
      </c>
      <c r="J31" s="11" t="str">
        <f t="shared" si="2"/>
        <v>02-DEC</v>
      </c>
      <c r="K31" s="11" t="str">
        <f t="shared" si="3"/>
        <v>CA</v>
      </c>
      <c r="L31" t="str">
        <f>CONCATENATE(Table1[[#This Row],[Brand Name]]," ",Table1[[#This Row],[Product Name]])</f>
        <v>Levi's Jeans</v>
      </c>
      <c r="M31" s="17" t="str">
        <f t="shared" si="4"/>
        <v>02-DEC-CA</v>
      </c>
      <c r="N31" s="17"/>
    </row>
    <row r="32" spans="1:14" ht="15.75" customHeight="1" x14ac:dyDescent="0.25">
      <c r="A32" s="8" t="s">
        <v>109</v>
      </c>
      <c r="B32" s="8" t="s">
        <v>110</v>
      </c>
      <c r="C32" s="8" t="s">
        <v>111</v>
      </c>
      <c r="D32" s="21">
        <v>100</v>
      </c>
      <c r="E32" s="13">
        <v>20</v>
      </c>
      <c r="F32" s="8" t="s">
        <v>71</v>
      </c>
      <c r="G32" s="10">
        <f>IF(ISBLANK(D32),AVERAGE($D$2:$D$32),D32)</f>
        <v>100</v>
      </c>
      <c r="H32" s="16">
        <f t="shared" si="0"/>
        <v>100</v>
      </c>
      <c r="I32" t="str">
        <f t="shared" si="1"/>
        <v>Accessories</v>
      </c>
      <c r="J32" s="11" t="str">
        <f t="shared" si="2"/>
        <v>09-JUL</v>
      </c>
      <c r="K32" s="11" t="str">
        <f t="shared" si="3"/>
        <v>FR</v>
      </c>
      <c r="L32" t="str">
        <f>CONCATENATE(Table1[[#This Row],[Brand Name]]," ",Table1[[#This Row],[Product Name]])</f>
        <v>Casio Watch</v>
      </c>
      <c r="M32" s="17" t="str">
        <f t="shared" si="4"/>
        <v>09-JUL-FR</v>
      </c>
      <c r="N32" s="17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H1:H1048576">
    <cfRule type="colorScale" priority="2">
      <colorScale>
        <cfvo type="min"/>
        <cfvo type="max"/>
        <color rgb="FFFCFCFF"/>
        <color rgb="FFF8696B"/>
      </colorScale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{4BAEF0E5-6CBF-4CC9-9859-611B0B8F5D26}</x14:id>
        </ext>
      </extLst>
    </cfRule>
    <cfRule type="dataBar" priority="7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{5DA77598-ACFC-4AC2-9138-B3C7739E9820}</x14:id>
        </ext>
      </extLst>
    </cfRule>
  </conditionalFormatting>
  <conditionalFormatting sqref="H2:H32">
    <cfRule type="dataBar" priority="5">
      <dataBar>
        <cfvo type="min"/>
        <cfvo type="max"/>
        <color theme="9" tint="0.39997558519241921"/>
      </dataBar>
      <extLst>
        <ext xmlns:x14="http://schemas.microsoft.com/office/spreadsheetml/2009/9/main" uri="{B025F937-C7B1-47D3-B67F-A62EFF666E3E}">
          <x14:id>{449854D4-C02A-4BF7-915E-4262BB307358}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{8E97A878-4E8D-4F80-A9E0-D9AC1ED28377}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AEF0E5-6CBF-4CC9-9859-611B0B8F5D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DA77598-ACFC-4AC2-9138-B3C7739E98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449854D4-C02A-4BF7-915E-4262BB307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97A878-4E8D-4F80-A9E0-D9AC1ED283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H2:H32</xm:sqref>
        </x14:conditionalFormatting>
        <x14:conditionalFormatting xmlns:xm="http://schemas.microsoft.com/office/excel/2006/main">
          <x14:cfRule type="containsText" priority="1" operator="containsText" id="{B4ADC5D3-A1CF-4435-9035-3880311F618F}">
            <xm:f>NOT(ISERROR(SEARCH($F$2,I2)))</xm:f>
            <xm:f>$F$2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I2:I32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DDBC-449A-4849-9098-DC5E2F9B1948}">
  <dimension ref="A1:D15"/>
  <sheetViews>
    <sheetView workbookViewId="0">
      <selection activeCell="C18" sqref="C18"/>
    </sheetView>
  </sheetViews>
  <sheetFormatPr defaultRowHeight="13.2" x14ac:dyDescent="0.25"/>
  <cols>
    <col min="1" max="1" width="16.44140625" bestFit="1" customWidth="1"/>
    <col min="2" max="2" width="14" customWidth="1"/>
    <col min="3" max="3" width="19" bestFit="1" customWidth="1"/>
    <col min="4" max="4" width="12" bestFit="1" customWidth="1"/>
  </cols>
  <sheetData>
    <row r="1" spans="1:4" x14ac:dyDescent="0.25">
      <c r="A1" s="23" t="s">
        <v>112</v>
      </c>
      <c r="B1" s="24"/>
      <c r="C1" s="23" t="s">
        <v>113</v>
      </c>
      <c r="D1" s="24"/>
    </row>
    <row r="2" spans="1:4" x14ac:dyDescent="0.25">
      <c r="A2" s="22"/>
      <c r="B2" s="22"/>
      <c r="C2" s="22"/>
      <c r="D2" s="22"/>
    </row>
    <row r="3" spans="1:4" x14ac:dyDescent="0.25">
      <c r="A3" s="22" t="s">
        <v>118</v>
      </c>
      <c r="B3" s="22">
        <v>297.85714285714289</v>
      </c>
      <c r="C3" s="22" t="s">
        <v>118</v>
      </c>
      <c r="D3" s="22">
        <v>297.87096774193549</v>
      </c>
    </row>
    <row r="4" spans="1:4" x14ac:dyDescent="0.25">
      <c r="A4" s="22" t="s">
        <v>119</v>
      </c>
      <c r="B4" s="22">
        <v>56.838494344274423</v>
      </c>
      <c r="C4" s="22" t="s">
        <v>119</v>
      </c>
      <c r="D4" s="22">
        <v>56.838494867351898</v>
      </c>
    </row>
    <row r="5" spans="1:4" x14ac:dyDescent="0.25">
      <c r="A5" s="22" t="s">
        <v>120</v>
      </c>
      <c r="B5" s="22">
        <v>150</v>
      </c>
      <c r="C5" s="22" t="s">
        <v>120</v>
      </c>
      <c r="D5" s="22">
        <v>150</v>
      </c>
    </row>
    <row r="6" spans="1:4" x14ac:dyDescent="0.25">
      <c r="A6" s="22" t="s">
        <v>121</v>
      </c>
      <c r="B6" s="22">
        <v>130</v>
      </c>
      <c r="C6" s="22" t="s">
        <v>121</v>
      </c>
      <c r="D6" s="22">
        <v>130</v>
      </c>
    </row>
    <row r="7" spans="1:4" x14ac:dyDescent="0.25">
      <c r="A7" s="22" t="s">
        <v>122</v>
      </c>
      <c r="B7" s="22">
        <v>316.46334324696687</v>
      </c>
      <c r="C7" s="22" t="s">
        <v>122</v>
      </c>
      <c r="D7" s="22">
        <v>316.46334615933898</v>
      </c>
    </row>
    <row r="8" spans="1:4" x14ac:dyDescent="0.25">
      <c r="A8" s="22" t="s">
        <v>123</v>
      </c>
      <c r="B8" s="22">
        <v>100149.04761904757</v>
      </c>
      <c r="C8" s="22" t="s">
        <v>123</v>
      </c>
      <c r="D8" s="22">
        <v>100149.0494623656</v>
      </c>
    </row>
    <row r="9" spans="1:4" x14ac:dyDescent="0.25">
      <c r="A9" s="22" t="s">
        <v>124</v>
      </c>
      <c r="B9" s="22">
        <v>0.33462380405751846</v>
      </c>
      <c r="C9" s="22" t="s">
        <v>124</v>
      </c>
      <c r="D9" s="22">
        <v>0.33435661488519397</v>
      </c>
    </row>
    <row r="10" spans="1:4" x14ac:dyDescent="0.25">
      <c r="A10" s="22" t="s">
        <v>125</v>
      </c>
      <c r="B10" s="22">
        <v>1.337311376090359</v>
      </c>
      <c r="C10" s="22" t="s">
        <v>125</v>
      </c>
      <c r="D10" s="22">
        <v>1.337171244043253</v>
      </c>
    </row>
    <row r="11" spans="1:4" x14ac:dyDescent="0.25">
      <c r="A11" s="22" t="s">
        <v>126</v>
      </c>
      <c r="B11" s="22">
        <v>970</v>
      </c>
      <c r="C11" s="22" t="s">
        <v>126</v>
      </c>
      <c r="D11" s="22">
        <v>970</v>
      </c>
    </row>
    <row r="12" spans="1:4" x14ac:dyDescent="0.25">
      <c r="A12" s="22" t="s">
        <v>127</v>
      </c>
      <c r="B12" s="22">
        <v>30</v>
      </c>
      <c r="C12" s="22" t="s">
        <v>127</v>
      </c>
      <c r="D12" s="22">
        <v>30</v>
      </c>
    </row>
    <row r="13" spans="1:4" x14ac:dyDescent="0.25">
      <c r="A13" s="22" t="s">
        <v>128</v>
      </c>
      <c r="B13" s="22">
        <v>1000</v>
      </c>
      <c r="C13" s="22" t="s">
        <v>128</v>
      </c>
      <c r="D13" s="22">
        <v>1000</v>
      </c>
    </row>
    <row r="14" spans="1:4" x14ac:dyDescent="0.25">
      <c r="A14" s="22" t="s">
        <v>129</v>
      </c>
      <c r="B14" s="22">
        <v>9233.5714285714294</v>
      </c>
      <c r="C14" s="22" t="s">
        <v>129</v>
      </c>
      <c r="D14" s="22">
        <v>9234</v>
      </c>
    </row>
    <row r="15" spans="1:4" x14ac:dyDescent="0.25">
      <c r="A15" s="22" t="s">
        <v>130</v>
      </c>
      <c r="B15" s="22">
        <v>31</v>
      </c>
      <c r="C15" s="22" t="s">
        <v>130</v>
      </c>
      <c r="D15" s="22">
        <v>31</v>
      </c>
    </row>
  </sheetData>
  <mergeCells count="2">
    <mergeCell ref="C1:D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 Analysis - 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Vijaya.Sudhakar</cp:lastModifiedBy>
  <dcterms:modified xsi:type="dcterms:W3CDTF">2026-01-26T18:52:42Z</dcterms:modified>
</cp:coreProperties>
</file>